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Price List" sheetId="2" state="visible" r:id="rId4"/>
    <sheet name="Price Zones" sheetId="3" state="visible" r:id="rId5"/>
    <sheet name="Price Grid" sheetId="4" state="visible" r:id="rId6"/>
    <sheet name="Report Find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<sst xmlns="http://schemas.openxmlformats.org/spreadsheetml/2006/main" count="183" uniqueCount="146">
  <si>
    <t xml:space="preserve">Turabees Bespoke Wedding Wear Calculator</t>
  </si>
  <si>
    <t xml:space="preserve">Fill the yellow cells. Price per outfit = (Style base + Fabric + Embroidery) x (1 + mark-up). Add-ons and delivery are added after.</t>
  </si>
  <si>
    <t xml:space="preserve">Style</t>
  </si>
  <si>
    <t xml:space="preserve">Sherwani</t>
  </si>
  <si>
    <t xml:space="preserve">Fabric grade</t>
  </si>
  <si>
    <t xml:space="preserve">Standard blend</t>
  </si>
  <si>
    <t xml:space="preserve">Embroidery</t>
  </si>
  <si>
    <t xml:space="preserve">Light</t>
  </si>
  <si>
    <t xml:space="preserve">Quantity (outfits)</t>
  </si>
  <si>
    <t xml:space="preserve">Delivery (£)</t>
  </si>
  <si>
    <t xml:space="preserve">Add-ons (tick Yes)</t>
  </si>
  <si>
    <t xml:space="preserve">Add-on</t>
  </si>
  <si>
    <t xml:space="preserve">Include?</t>
  </si>
  <si>
    <t xml:space="preserve">Unit price</t>
  </si>
  <si>
    <t xml:space="preserve">Per</t>
  </si>
  <si>
    <t xml:space="preserve">Line total</t>
  </si>
  <si>
    <t xml:space="preserve">No</t>
  </si>
  <si>
    <t xml:space="preserve">Result</t>
  </si>
  <si>
    <t xml:space="preserve">Style base</t>
  </si>
  <si>
    <t xml:space="preserve">Fabric needed (m)</t>
  </si>
  <si>
    <t xml:space="preserve">Fabric cost</t>
  </si>
  <si>
    <t xml:space="preserve">Subtotal</t>
  </si>
  <si>
    <t xml:space="preserve">Mark-up</t>
  </si>
  <si>
    <t xml:space="preserve">PRICE PER OUTFIT (before add-ons and delivery)</t>
  </si>
  <si>
    <t xml:space="preserve">Category</t>
  </si>
  <si>
    <t xml:space="preserve">Price zone (report)</t>
  </si>
  <si>
    <t xml:space="preserve">Recommended window: low</t>
  </si>
  <si>
    <t xml:space="preserve">Recommended window: high</t>
  </si>
  <si>
    <t xml:space="preserve">Status</t>
  </si>
  <si>
    <t xml:space="preserve">Evidence needed</t>
  </si>
  <si>
    <t xml:space="preserve">Embroidery check</t>
  </si>
  <si>
    <t xml:space="preserve">Order</t>
  </si>
  <si>
    <t xml:space="preserve">Outfits total (price x quantity)</t>
  </si>
  <si>
    <t xml:space="preserve">Add-ons total</t>
  </si>
  <si>
    <t xml:space="preserve">Delivery</t>
  </si>
  <si>
    <t xml:space="preserve">ORDER TOTAL</t>
  </si>
  <si>
    <t xml:space="preserve">Price List</t>
  </si>
  <si>
    <t xml:space="preserve">Blue = editable input. Orange note = placeholder to replace with your real cost.</t>
  </si>
  <si>
    <t xml:space="preserve">Fabric (m)</t>
  </si>
  <si>
    <t xml:space="preserve">Style base (£)</t>
  </si>
  <si>
    <t xml:space="preserve">Embroidery tier</t>
  </si>
  <si>
    <t xml:space="preserve">Price (£)</t>
  </si>
  <si>
    <t xml:space="preserve">Rate per metre (£)</t>
  </si>
  <si>
    <t xml:space="preserve">Note</t>
  </si>
  <si>
    <t xml:space="preserve">Setting</t>
  </si>
  <si>
    <t xml:space="preserve">Value</t>
  </si>
  <si>
    <t xml:space="preserve">None</t>
  </si>
  <si>
    <t xml:space="preserve">Your rate</t>
  </si>
  <si>
    <t xml:space="preserve">2-Piece Suit</t>
  </si>
  <si>
    <t xml:space="preserve">Suit</t>
  </si>
  <si>
    <t xml:space="preserve">Silk blend</t>
  </si>
  <si>
    <t xml:space="preserve">Placeholder: replace with supplier cost</t>
  </si>
  <si>
    <t xml:space="preserve">3-Piece Suit</t>
  </si>
  <si>
    <t xml:space="preserve">Medium</t>
  </si>
  <si>
    <t xml:space="preserve">Jamawar / Velvet</t>
  </si>
  <si>
    <t xml:space="preserve">Double-Breasted Suit</t>
  </si>
  <si>
    <t xml:space="preserve">Heavy</t>
  </si>
  <si>
    <t xml:space="preserve">Tuxedo</t>
  </si>
  <si>
    <t xml:space="preserve">Dinner Suit</t>
  </si>
  <si>
    <t xml:space="preserve">Add-ons (added AFTER the mark-up, not marked up)</t>
  </si>
  <si>
    <t xml:space="preserve">Charged per</t>
  </si>
  <si>
    <t xml:space="preserve">Fabric swatch pack (posted)</t>
  </si>
  <si>
    <t xml:space="preserve">order</t>
  </si>
  <si>
    <t xml:space="preserve">Placeholder. Report: swatches are a hard gate for Sherwani; consider free or refundable</t>
  </si>
  <si>
    <t xml:space="preserve">Extra alteration round</t>
  </si>
  <si>
    <t xml:space="preserve">outfit</t>
  </si>
  <si>
    <t xml:space="preserve">Report: 2 fittings/free alterations expected in price; extras optional</t>
  </si>
  <si>
    <t xml:space="preserve">Rush production (peak season)</t>
  </si>
  <si>
    <t xml:space="preserve">Placeholder. Standard production is 4-6 weeks</t>
  </si>
  <si>
    <t xml:space="preserve">Delay-compensation guarantee</t>
  </si>
  <si>
    <t xml:space="preserve">Placeholder. Report: written delay compensation builds trust</t>
  </si>
  <si>
    <t xml:space="preserve">Extra piece (waistcoat / stole)</t>
  </si>
  <si>
    <t xml:space="preserve">From v1 (£16-30 range)</t>
  </si>
  <si>
    <t xml:space="preserve">Monogram / premium lining</t>
  </si>
  <si>
    <t xml:space="preserve">From v1</t>
  </si>
  <si>
    <t xml:space="preserve">Changes vs v1 (based on simulation report)</t>
  </si>
  <si>
    <t xml:space="preserve">Sherwani fabric raised from 3.5 m to 4.5 m: the report's analysts say a Sherwani needs 4-5 m, so v1 under-costed fabric.</t>
  </si>
  <si>
    <t xml:space="preserve">Dinner Suit is mapped to the Tuxedo category and Double-Breasted to Suit (assumption; edit column B if you disagree).</t>
  </si>
  <si>
    <t xml:space="preserve">Added fabric grades: the report says £10/m cannot support real silk, jamawar or velvet. Grades 2 and 3 are placeholders.</t>
  </si>
  <si>
    <t xml:space="preserve">Added quantity (group orders of 5-8), report-based price zones, and an evidence checklist per category.</t>
  </si>
  <si>
    <t xml:space="preserve">Price Zones (from the simulation report)</t>
  </si>
  <si>
    <t xml:space="preserve">Zones are judged on price per outfit BEFORE add-ons and delivery. Thresholds are the lower bound of each zone.</t>
  </si>
  <si>
    <t xml:space="preserve">Sherwani from (£)</t>
  </si>
  <si>
    <t xml:space="preserve">Zone</t>
  </si>
  <si>
    <t xml:space="preserve">Suit from (£)</t>
  </si>
  <si>
    <t xml:space="preserve">Tuxedo from (£)</t>
  </si>
  <si>
    <t xml:space="preserve">Quality-risk zone (below £120): reads as synthetic</t>
  </si>
  <si>
    <t xml:space="preserve">Below £85: not credible as made-to-measure</t>
  </si>
  <si>
    <t xml:space="preserve">Danger signal (below £100): read as fixed-block synthetic</t>
  </si>
  <si>
    <t xml:space="preserve">Hesitation zone (£120-£150)</t>
  </si>
  <si>
    <t xml:space="preserve">Reasonable made-to-measure zone (£85-£100)</t>
  </si>
  <si>
    <t xml:space="preserve">Low-risk trial range (£100-£122)</t>
  </si>
  <si>
    <t xml:space="preserve">BEST BALANCE (£150-£190): conditional acceptance</t>
  </si>
  <si>
    <t xml:space="preserve">BEST BALANCE (£100-£122): made-to-measure + 2 alterations</t>
  </si>
  <si>
    <t xml:space="preserve">Above range: justify with value (embroidered Indo-Western needs £150+)</t>
  </si>
  <si>
    <t xml:space="preserve">Serious negotiation zone (£190-£380): needs physical proof</t>
  </si>
  <si>
    <t xml:space="preserve">Overlaps local bespoke tailors: needs clear extra value</t>
  </si>
  <si>
    <t xml:space="preserve">Core-circle decision zone (above £380)</t>
  </si>
  <si>
    <t xml:space="preserve">Recommended window and evidence needed by category</t>
  </si>
  <si>
    <t xml:space="preserve">Window low (£)</t>
  </si>
  <si>
    <t xml:space="preserve">Window high (£)</t>
  </si>
  <si>
    <t xml:space="preserve">Confidence</t>
  </si>
  <si>
    <t xml:space="preserve">Evidence needed to make the price credible</t>
  </si>
  <si>
    <t xml:space="preserve">High</t>
  </si>
  <si>
    <t xml:space="preserve">Fabric swatches sent home + try-on / 2 fittings + free alterations + real wedding photos</t>
  </si>
  <si>
    <t xml:space="preserve">Medium-high</t>
  </si>
  <si>
    <t xml:space="preserve">21-day delivery in writing + 2 free alterations. Say 'made-to-measure', never 'fully bespoke'</t>
  </si>
  <si>
    <t xml:space="preserve">Position separately from suits. Embroidered Indo-Western tuxedos need £150+ to match craft expectations</t>
  </si>
  <si>
    <t xml:space="preserve">Price Grid: every style x embroidery tier</t>
  </si>
  <si>
    <t xml:space="preserve">Price per outfit before add-ons and delivery. Green = inside the report's recommended window, red = below (trust risk), amber = above.</t>
  </si>
  <si>
    <t xml:space="preserve">Fabric grade:</t>
  </si>
  <si>
    <t xml:space="preserve">Window low</t>
  </si>
  <si>
    <t xml:space="preserve">Window high</t>
  </si>
  <si>
    <t xml:space="preserve">Simulation report: what it means for pricing</t>
  </si>
  <si>
    <t xml:space="preserve">Source: MiroFish simulation (synthetic personas, not real customer data). Validate with real customers before committing.</t>
  </si>
  <si>
    <t xml:space="preserve">Topic</t>
  </si>
  <si>
    <t xml:space="preserve">Finding</t>
  </si>
  <si>
    <t xml:space="preserve">Headline</t>
  </si>
  <si>
    <t xml:space="preserve">Very low prices trigger a trust scrutiny, not excitement. At £98-£190 for a Sherwani the first reaction was 'too cheap to trust'.</t>
  </si>
  <si>
    <t xml:space="preserve">Decision order</t>
  </si>
  <si>
    <t xml:space="preserve">Delivery time &gt; fit &gt; fabric &gt; price. Delays near a fixed wedding date are the worst outcome.</t>
  </si>
  <si>
    <t xml:space="preserve">Best price windows</t>
  </si>
  <si>
    <t xml:space="preserve">Sherwani £150-£190 (high confidence). Suits £100-£122 (medium-high). Tuxedos £100-£122 (medium).</t>
  </si>
  <si>
    <t xml:space="preserve">Analysts noted a Sherwani needs 4-5 m; at £10/m the formula can only support synthetic blends. Silk/jamawar/velvet need higher rates.</t>
  </si>
  <si>
    <t xml:space="preserve">Suits vs Sherwani</t>
  </si>
  <si>
    <t xml:space="preserve">Suit blocks are standardised, so cheaper prices are tolerated; embroidery and fabric make Sherwani grade obvious.</t>
  </si>
  <si>
    <t xml:space="preserve">Wording</t>
  </si>
  <si>
    <t xml:space="preserve">For suits use 'made-to-measure' (fully bespoke below £100 is read as fake). Embroidered Indo-Western tuxedos need £150+.</t>
  </si>
  <si>
    <t xml:space="preserve">Evidence (all three needed)</t>
  </si>
  <si>
    <t xml:space="preserve">1) Fabric swatches posted home. 2) Real delivery / workshop photos, incl. different body types. 3) Written delivery date, alteration count and rework terms.</t>
  </si>
  <si>
    <t xml:space="preserve">Try-on guarantee</t>
  </si>
  <si>
    <t xml:space="preserve">Order one trial piece first, then the whole groomsmen set (5-8). Partner tailor try-on (e.g. Southall) builds trust fast.</t>
  </si>
  <si>
    <t xml:space="preserve">Delivery terms</t>
  </si>
  <si>
    <t xml:space="preserve">Standard 4-6 weeks, rush option, and written delay compensation or refund. 21-day delivery for suits was named as a strong offer.</t>
  </si>
  <si>
    <t xml:space="preserve">Risk 1</t>
  </si>
  <si>
    <t xml:space="preserve">Low prices read as quality risk, not value.</t>
  </si>
  <si>
    <t xml:space="preserve">Risk 2</t>
  </si>
  <si>
    <t xml:space="preserve">No try-on plus delivery delay can ruin the wedding: the hard constraint.</t>
  </si>
  <si>
    <t xml:space="preserve">Risk 3</t>
  </si>
  <si>
    <t xml:space="preserve">Local tailors (Southall, Green Street, Soho Road, Bradford) are the trust baseline.</t>
  </si>
  <si>
    <t xml:space="preserve">Risk 4</t>
  </si>
  <si>
    <t xml:space="preserve">Word of mouth (WhatsApp, Instagram, TikTok, forums) outruns brand response; supplier 'red/black lists' exist.</t>
  </si>
  <si>
    <t xml:space="preserve">Risk 5</t>
  </si>
  <si>
    <t xml:space="preserve">Higher prices concentrate decisions in the groom's circle and funding elders, shrinking group-order scale.</t>
  </si>
  <si>
    <t xml:space="preserve">Gap in report</t>
  </si>
  <si>
    <t xml:space="preserve">The community-narrative section was incomplete (tool fragment). Platform-specific narratives were not covered.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</si>
</sst>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£#,##0.00"/>
    <numFmt numFmtId="167" formatCode="0.0&quot; m&quot;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C55A11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EB9C"/>
      </patternFill>
    </fill>
    <fill>
      <patternFill patternType="solid">
        <fgColor rgb="FF1F3B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EB9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5" t="n">
        <v>1</v>
      </c>
    </row>
    <row r="8" customFormat="false" ht="15" hidden="false" customHeight="false" outlineLevel="0" collapsed="false">
      <c r="A8" s="3" t="s">
        <v>9</v>
      </c>
      <c r="B8" s="6" t="n">
        <v>0</v>
      </c>
    </row>
    <row r="10" customFormat="false" ht="15" hidden="false" customHeight="false" outlineLevel="0" collapsed="false">
      <c r="A10" s="3" t="s">
        <v>10</v>
      </c>
    </row>
    <row r="11" customFormat="false" ht="15" hidden="false" customHeight="false" outlineLevel="0" collapsed="false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</row>
    <row r="12" customFormat="false" ht="15" hidden="false" customHeight="false" outlineLevel="0" collapsed="false">
      <c r="A12" s="8" t="str">
        <f aca="false">'Price List'!A13</f>
        <v>Fabric swatch pack (posted)</v>
      </c>
      <c r="B12" s="9" t="s">
        <v>16</v>
      </c>
      <c r="C12" s="10" t="n">
        <f aca="false">'Price List'!B13</f>
        <v>5</v>
      </c>
      <c r="D12" s="8" t="str">
        <f aca="false">'Price List'!C13</f>
        <v>order</v>
      </c>
      <c r="E12" s="10" t="n">
        <f aca="false">IF(B12="Yes",C12*IF(D12="outfit",$B$7,1),0)</f>
        <v>0</v>
      </c>
    </row>
    <row r="13" customFormat="false" ht="15" hidden="false" customHeight="false" outlineLevel="0" collapsed="false">
      <c r="A13" s="8" t="str">
        <f aca="false">'Price List'!A14</f>
        <v>Extra alteration round</v>
      </c>
      <c r="B13" s="9" t="s">
        <v>16</v>
      </c>
      <c r="C13" s="10" t="n">
        <f aca="false">'Price List'!B14</f>
        <v>10</v>
      </c>
      <c r="D13" s="8" t="str">
        <f aca="false">'Price List'!C14</f>
        <v>outfit</v>
      </c>
      <c r="E13" s="10" t="n">
        <f aca="false">IF(B13="Yes",C13*IF(D13="outfit",$B$7,1),0)</f>
        <v>0</v>
      </c>
    </row>
    <row r="14" customFormat="false" ht="15" hidden="false" customHeight="false" outlineLevel="0" collapsed="false">
      <c r="A14" s="8" t="str">
        <f aca="false">'Price List'!A15</f>
        <v>Rush production (peak season)</v>
      </c>
      <c r="B14" s="9" t="s">
        <v>16</v>
      </c>
      <c r="C14" s="10" t="n">
        <f aca="false">'Price List'!B15</f>
        <v>30</v>
      </c>
      <c r="D14" s="8" t="str">
        <f aca="false">'Price List'!C15</f>
        <v>outfit</v>
      </c>
      <c r="E14" s="10" t="n">
        <f aca="false">IF(B14="Yes",C14*IF(D14="outfit",$B$7,1),0)</f>
        <v>0</v>
      </c>
    </row>
    <row r="15" customFormat="false" ht="15" hidden="false" customHeight="false" outlineLevel="0" collapsed="false">
      <c r="A15" s="8" t="str">
        <f aca="false">'Price List'!A16</f>
        <v>Delay-compensation guarantee</v>
      </c>
      <c r="B15" s="9" t="s">
        <v>16</v>
      </c>
      <c r="C15" s="10" t="n">
        <f aca="false">'Price List'!B16</f>
        <v>10</v>
      </c>
      <c r="D15" s="8" t="str">
        <f aca="false">'Price List'!C16</f>
        <v>order</v>
      </c>
      <c r="E15" s="10" t="n">
        <f aca="false">IF(B15="Yes",C15*IF(D15="outfit",$B$7,1),0)</f>
        <v>0</v>
      </c>
    </row>
    <row r="16" customFormat="false" ht="15" hidden="false" customHeight="false" outlineLevel="0" collapsed="false">
      <c r="A16" s="8" t="str">
        <f aca="false">'Price List'!A17</f>
        <v>Extra piece (waistcoat / stole)</v>
      </c>
      <c r="B16" s="9" t="s">
        <v>16</v>
      </c>
      <c r="C16" s="10" t="n">
        <f aca="false">'Price List'!B17</f>
        <v>20</v>
      </c>
      <c r="D16" s="8" t="str">
        <f aca="false">'Price List'!C17</f>
        <v>outfit</v>
      </c>
      <c r="E16" s="10" t="n">
        <f aca="false">IF(B16="Yes",C16*IF(D16="outfit",$B$7,1),0)</f>
        <v>0</v>
      </c>
    </row>
    <row r="17" customFormat="false" ht="15" hidden="false" customHeight="false" outlineLevel="0" collapsed="false">
      <c r="A17" s="8" t="str">
        <f aca="false">'Price List'!A18</f>
        <v>Monogram / premium lining</v>
      </c>
      <c r="B17" s="9" t="s">
        <v>16</v>
      </c>
      <c r="C17" s="10" t="n">
        <f aca="false">'Price List'!B18</f>
        <v>8</v>
      </c>
      <c r="D17" s="8" t="str">
        <f aca="false">'Price List'!C18</f>
        <v>outfit</v>
      </c>
      <c r="E17" s="10" t="n">
        <f aca="false">IF(B17="Yes",C17*IF(D17="outfit",$B$7,1),0)</f>
        <v>0</v>
      </c>
    </row>
    <row r="19" customFormat="false" ht="15" hidden="false" customHeight="false" outlineLevel="0" collapsed="false">
      <c r="A19" s="3" t="s">
        <v>17</v>
      </c>
    </row>
    <row r="20" customFormat="false" ht="15" hidden="false" customHeight="false" outlineLevel="0" collapsed="false">
      <c r="A20" s="11" t="s">
        <v>18</v>
      </c>
      <c r="B20" s="12" t="n">
        <f aca="false">INDEX('Price List'!$D$4:$D$9,MATCH($B$4,'Price List'!$A$4:$A$9,0))</f>
        <v>50</v>
      </c>
    </row>
    <row r="21" customFormat="false" ht="15" hidden="false" customHeight="false" outlineLevel="0" collapsed="false">
      <c r="A21" s="11" t="s">
        <v>19</v>
      </c>
      <c r="B21" s="13" t="n">
        <f aca="false">INDEX('Price List'!$C$4:$C$9,MATCH($B$4,'Price List'!$A$4:$A$9,0))</f>
        <v>4.5</v>
      </c>
    </row>
    <row r="22" customFormat="false" ht="15" hidden="false" customHeight="false" outlineLevel="0" collapsed="false">
      <c r="A22" s="11" t="s">
        <v>20</v>
      </c>
      <c r="B22" s="12" t="n">
        <f aca="false">B21*INDEX('Price List'!$J$4:$J$6,MATCH($B$5,'Price List'!$I$4:$I$6,0))</f>
        <v>45</v>
      </c>
    </row>
    <row r="23" customFormat="false" ht="15" hidden="false" customHeight="false" outlineLevel="0" collapsed="false">
      <c r="A23" s="11" t="s">
        <v>6</v>
      </c>
      <c r="B23" s="12" t="n">
        <f aca="false">INDEX('Price List'!$G$4:$G$7,MATCH($B$6,'Price List'!$F$4:$F$7,0))</f>
        <v>20</v>
      </c>
    </row>
    <row r="24" customFormat="false" ht="15" hidden="false" customHeight="false" outlineLevel="0" collapsed="false">
      <c r="A24" s="14" t="s">
        <v>21</v>
      </c>
      <c r="B24" s="15" t="n">
        <f aca="false">B20+B22+B23</f>
        <v>115</v>
      </c>
    </row>
    <row r="25" customFormat="false" ht="15" hidden="false" customHeight="false" outlineLevel="0" collapsed="false">
      <c r="A25" s="11" t="s">
        <v>22</v>
      </c>
      <c r="B25" s="12" t="n">
        <f aca="false">B24*'Price List'!$N$4</f>
        <v>17.25</v>
      </c>
    </row>
    <row r="26" customFormat="false" ht="30" hidden="false" customHeight="true" outlineLevel="0" collapsed="false">
      <c r="A26" s="16" t="s">
        <v>23</v>
      </c>
      <c r="B26" s="17" t="n">
        <f aca="false">B24+B25</f>
        <v>132.25</v>
      </c>
    </row>
    <row r="27" customFormat="false" ht="15" hidden="false" customHeight="false" outlineLevel="0" collapsed="false">
      <c r="A27" s="11" t="s">
        <v>24</v>
      </c>
      <c r="B27" s="18" t="str">
        <f aca="false">INDEX('Price List'!$B$4:$B$9,MATCH($B$4,'Price List'!$A$4:$A$9,0))</f>
        <v>Sherwani</v>
      </c>
    </row>
    <row r="28" customFormat="false" ht="30" hidden="false" customHeight="true" outlineLevel="0" collapsed="false">
      <c r="A28" s="11" t="s">
        <v>25</v>
      </c>
      <c r="B28" s="18" t="str">
        <f aca="false">IF(B27="Sherwani",INDEX('Price Zones'!$B$4:$B$8,MATCH(B26,'Price Zones'!$A$4:$A$8,1)),IF(B27="Suit",INDEX('Price Zones'!$E$4:$E$7,MATCH(B26,'Price Zones'!$D$4:$D$7,1)),INDEX('Price Zones'!$H$4:$H$6,MATCH(B26,'Price Zones'!$G$4:$G$6,1))))</f>
        <v>Hesitation zone (£120-£150)</v>
      </c>
    </row>
    <row r="29" customFormat="false" ht="15" hidden="false" customHeight="false" outlineLevel="0" collapsed="false">
      <c r="A29" s="11" t="s">
        <v>26</v>
      </c>
      <c r="B29" s="12" t="n">
        <f aca="false">INDEX('Price Zones'!$B$13:$B$15,MATCH(B27,'Price Zones'!$A$13:$A$15,0))</f>
        <v>150</v>
      </c>
    </row>
    <row r="30" customFormat="false" ht="15" hidden="false" customHeight="false" outlineLevel="0" collapsed="false">
      <c r="A30" s="11" t="s">
        <v>27</v>
      </c>
      <c r="B30" s="12" t="n">
        <f aca="false">INDEX('Price Zones'!$C$13:$C$15,MATCH(B27,'Price Zones'!$A$13:$A$15,0))</f>
        <v>190</v>
      </c>
    </row>
    <row r="31" customFormat="false" ht="15" hidden="false" customHeight="false" outlineLevel="0" collapsed="false">
      <c r="A31" s="11" t="s">
        <v>28</v>
      </c>
      <c r="B31" s="18" t="str">
        <f aca="false">IF(B26&lt;B29,"Below window by £"&amp;TEXT(B29-B26,"0.00"),IF(B26&gt;B30,"Above window by £"&amp;TEXT(B26-B30,"0.00"),"Within recommended window"))</f>
        <v>Below window by £17.75</v>
      </c>
    </row>
    <row r="32" customFormat="false" ht="45" hidden="false" customHeight="true" outlineLevel="0" collapsed="false">
      <c r="A32" s="11" t="s">
        <v>29</v>
      </c>
      <c r="B32" s="18" t="str">
        <f aca="false">INDEX('Price Zones'!$E$13:$E$15,MATCH(B27,'Price Zones'!$A$13:$A$15,0))</f>
        <v>Fabric swatches sent home + try-on / 2 fittings + free alterations + real wedding photos</v>
      </c>
    </row>
    <row r="33" customFormat="false" ht="30" hidden="false" customHeight="true" outlineLevel="0" collapsed="false">
      <c r="A33" s="11" t="s">
        <v>30</v>
      </c>
      <c r="B33" s="18" t="str">
        <f aca="false">IF(AND(B27="Tuxedo",B6&lt;&gt;"None",B26&lt;150),"Embroidered tuxedo below £150: report says craft expectations not met","OK")</f>
        <v>OK</v>
      </c>
    </row>
    <row r="34" customFormat="false" ht="15" hidden="false" customHeight="false" outlineLevel="0" collapsed="false">
      <c r="A34" s="3" t="s">
        <v>31</v>
      </c>
    </row>
    <row r="35" customFormat="false" ht="15" hidden="false" customHeight="false" outlineLevel="0" collapsed="false">
      <c r="A35" s="11" t="s">
        <v>32</v>
      </c>
      <c r="B35" s="12" t="n">
        <f aca="false">B26*B7</f>
        <v>132.25</v>
      </c>
    </row>
    <row r="36" customFormat="false" ht="15" hidden="false" customHeight="false" outlineLevel="0" collapsed="false">
      <c r="A36" s="11" t="s">
        <v>33</v>
      </c>
      <c r="B36" s="12" t="n">
        <f aca="false">SUM(E12:E17)</f>
        <v>0</v>
      </c>
    </row>
    <row r="37" customFormat="false" ht="15" hidden="false" customHeight="false" outlineLevel="0" collapsed="false">
      <c r="A37" s="11" t="s">
        <v>34</v>
      </c>
      <c r="B37" s="12" t="n">
        <f aca="false">B8</f>
        <v>0</v>
      </c>
    </row>
    <row r="38" customFormat="false" ht="15" hidden="false" customHeight="false" outlineLevel="0" collapsed="false">
      <c r="A38" s="16" t="s">
        <v>35</v>
      </c>
      <c r="B38" s="17" t="n">
        <f aca="false">B35+B36+B37</f>
        <v>132.25</v>
      </c>
    </row>
  </sheetData>
  <conditionalFormatting sqref="B31">
    <cfRule type="expression" priority="2" aboveAverage="0" equalAverage="0" bottom="0" percent="0" rank="0" text="" dxfId="0">
      <formula>LEFT($B$31,6)="Within"</formula>
    </cfRule>
    <cfRule type="expression" priority="3" aboveAverage="0" equalAverage="0" bottom="0" percent="0" rank="0" text="" dxfId="1">
      <formula>LEFT($B$31,5)="Below"</formula>
    </cfRule>
    <cfRule type="expression" priority="4" aboveAverage="0" equalAverage="0" bottom="0" percent="0" rank="0" text="" dxfId="2">
      <formula>LEFT($B$31,5)="Above"</formula>
    </cfRule>
  </conditionalFormatting>
  <conditionalFormatting sqref="B33">
    <cfRule type="expression" priority="5" aboveAverage="0" equalAverage="0" bottom="0" percent="0" rank="0" text="" dxfId="1">
      <formula>$B$33&lt;&gt;"OK"</formula>
    </cfRule>
  </conditionalFormatting>
  <dataValidations count="5">
    <dataValidation allowBlank="false" errorStyle="stop" operator="between" showDropDown="false" showErrorMessage="false" showInputMessage="false" sqref="B4" type="list">
      <formula1>'Price List'!$A$4:$A$9</formula1>
      <formula2>0</formula2>
    </dataValidation>
    <dataValidation allowBlank="false" errorStyle="stop" operator="between" showDropDown="false" showErrorMessage="false" showInputMessage="false" sqref="B5" type="list">
      <formula1>'Price List'!$I$4:$I$6</formula1>
      <formula2>0</formula2>
    </dataValidation>
    <dataValidation allowBlank="false" errorStyle="stop" operator="between" showDropDown="false" showErrorMessage="false" showInputMessage="false" sqref="B6" type="list">
      <formula1>'Price List'!$F$4:$F$7</formula1>
      <formula2>0</formula2>
    </dataValidation>
    <dataValidation allowBlank="false" errorStyle="stop" operator="between" showDropDown="false" showErrorMessage="false" showInputMessage="false" sqref="B7" type="whole">
      <formula1>1</formula1>
      <formula2>50</formula2>
    </dataValidation>
    <dataValidation allowBlank="false" errorStyle="stop" operator="between" showDropDown="false" showErrorMessage="false" showInputMessage="false" sqref="B12:B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10" min="9" style="0" width="18"/>
    <col collapsed="false" customWidth="true" hidden="false" outlineLevel="0" max="11" min="11" style="0" width="38"/>
    <col collapsed="false" customWidth="true" hidden="false" outlineLevel="0" max="12" min="12" style="0" width="3"/>
    <col collapsed="false" customWidth="true" hidden="false" outlineLevel="0" max="13" min="13" style="0" width="12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26.85" hidden="false" customHeight="false" outlineLevel="0" collapsed="false">
      <c r="A3" s="7" t="s">
        <v>2</v>
      </c>
      <c r="B3" s="7" t="s">
        <v>24</v>
      </c>
      <c r="C3" s="7" t="s">
        <v>38</v>
      </c>
      <c r="D3" s="7" t="s">
        <v>39</v>
      </c>
      <c r="F3" s="7" t="s">
        <v>40</v>
      </c>
      <c r="G3" s="7" t="s">
        <v>41</v>
      </c>
      <c r="I3" s="7" t="s">
        <v>4</v>
      </c>
      <c r="J3" s="7" t="s">
        <v>42</v>
      </c>
      <c r="K3" s="7" t="s">
        <v>43</v>
      </c>
      <c r="M3" s="7" t="s">
        <v>44</v>
      </c>
      <c r="N3" s="7" t="s">
        <v>45</v>
      </c>
    </row>
    <row r="4" customFormat="false" ht="15" hidden="false" customHeight="false" outlineLevel="0" collapsed="false">
      <c r="A4" s="8" t="s">
        <v>3</v>
      </c>
      <c r="B4" s="19" t="s">
        <v>3</v>
      </c>
      <c r="C4" s="19" t="n">
        <v>4.5</v>
      </c>
      <c r="D4" s="20" t="n">
        <v>50</v>
      </c>
      <c r="F4" s="8" t="s">
        <v>46</v>
      </c>
      <c r="G4" s="20" t="n">
        <v>0</v>
      </c>
      <c r="I4" s="8" t="s">
        <v>5</v>
      </c>
      <c r="J4" s="20" t="n">
        <v>10</v>
      </c>
      <c r="K4" s="21" t="s">
        <v>47</v>
      </c>
      <c r="M4" s="8" t="s">
        <v>22</v>
      </c>
      <c r="N4" s="22" t="n">
        <v>0.15</v>
      </c>
    </row>
    <row r="5" customFormat="false" ht="15" hidden="false" customHeight="false" outlineLevel="0" collapsed="false">
      <c r="A5" s="8" t="s">
        <v>48</v>
      </c>
      <c r="B5" s="19" t="s">
        <v>49</v>
      </c>
      <c r="C5" s="19" t="n">
        <v>3</v>
      </c>
      <c r="D5" s="20" t="n">
        <v>40</v>
      </c>
      <c r="F5" s="8" t="s">
        <v>7</v>
      </c>
      <c r="G5" s="20" t="n">
        <v>20</v>
      </c>
      <c r="I5" s="8" t="s">
        <v>50</v>
      </c>
      <c r="J5" s="20" t="n">
        <v>16</v>
      </c>
      <c r="K5" s="23" t="s">
        <v>51</v>
      </c>
    </row>
    <row r="6" customFormat="false" ht="15" hidden="false" customHeight="false" outlineLevel="0" collapsed="false">
      <c r="A6" s="8" t="s">
        <v>52</v>
      </c>
      <c r="B6" s="19" t="s">
        <v>49</v>
      </c>
      <c r="C6" s="19" t="n">
        <v>3.6</v>
      </c>
      <c r="D6" s="20" t="n">
        <v>50</v>
      </c>
      <c r="F6" s="8" t="s">
        <v>53</v>
      </c>
      <c r="G6" s="20" t="n">
        <v>40</v>
      </c>
      <c r="I6" s="8" t="s">
        <v>54</v>
      </c>
      <c r="J6" s="20" t="n">
        <v>24</v>
      </c>
      <c r="K6" s="23" t="s">
        <v>51</v>
      </c>
    </row>
    <row r="7" customFormat="false" ht="15" hidden="false" customHeight="false" outlineLevel="0" collapsed="false">
      <c r="A7" s="8" t="s">
        <v>55</v>
      </c>
      <c r="B7" s="19" t="s">
        <v>49</v>
      </c>
      <c r="C7" s="19" t="n">
        <v>3.4</v>
      </c>
      <c r="D7" s="20" t="n">
        <v>52</v>
      </c>
      <c r="F7" s="8" t="s">
        <v>56</v>
      </c>
      <c r="G7" s="20" t="n">
        <v>80</v>
      </c>
    </row>
    <row r="8" customFormat="false" ht="15" hidden="false" customHeight="false" outlineLevel="0" collapsed="false">
      <c r="A8" s="8" t="s">
        <v>57</v>
      </c>
      <c r="B8" s="19" t="s">
        <v>57</v>
      </c>
      <c r="C8" s="19" t="n">
        <v>3.2</v>
      </c>
      <c r="D8" s="20" t="n">
        <v>48</v>
      </c>
    </row>
    <row r="9" customFormat="false" ht="15" hidden="false" customHeight="false" outlineLevel="0" collapsed="false">
      <c r="A9" s="8" t="s">
        <v>58</v>
      </c>
      <c r="B9" s="19" t="s">
        <v>57</v>
      </c>
      <c r="C9" s="19" t="n">
        <v>3</v>
      </c>
      <c r="D9" s="20" t="n">
        <v>44</v>
      </c>
    </row>
    <row r="11" customFormat="false" ht="15" hidden="false" customHeight="false" outlineLevel="0" collapsed="false">
      <c r="A11" s="3" t="s">
        <v>59</v>
      </c>
    </row>
    <row r="12" customFormat="false" ht="15" hidden="false" customHeight="false" outlineLevel="0" collapsed="false">
      <c r="A12" s="7" t="s">
        <v>11</v>
      </c>
      <c r="B12" s="7" t="s">
        <v>41</v>
      </c>
      <c r="C12" s="7" t="s">
        <v>60</v>
      </c>
      <c r="D12" s="7" t="s">
        <v>43</v>
      </c>
    </row>
    <row r="13" customFormat="false" ht="15" hidden="false" customHeight="false" outlineLevel="0" collapsed="false">
      <c r="A13" s="8" t="s">
        <v>61</v>
      </c>
      <c r="B13" s="20" t="n">
        <v>5</v>
      </c>
      <c r="C13" s="19" t="s">
        <v>62</v>
      </c>
      <c r="D13" s="23" t="s">
        <v>63</v>
      </c>
    </row>
    <row r="14" customFormat="false" ht="15" hidden="false" customHeight="false" outlineLevel="0" collapsed="false">
      <c r="A14" s="8" t="s">
        <v>64</v>
      </c>
      <c r="B14" s="20" t="n">
        <v>10</v>
      </c>
      <c r="C14" s="19" t="s">
        <v>65</v>
      </c>
      <c r="D14" s="21" t="s">
        <v>66</v>
      </c>
    </row>
    <row r="15" customFormat="false" ht="15" hidden="false" customHeight="false" outlineLevel="0" collapsed="false">
      <c r="A15" s="8" t="s">
        <v>67</v>
      </c>
      <c r="B15" s="20" t="n">
        <v>30</v>
      </c>
      <c r="C15" s="19" t="s">
        <v>65</v>
      </c>
      <c r="D15" s="23" t="s">
        <v>68</v>
      </c>
    </row>
    <row r="16" customFormat="false" ht="15" hidden="false" customHeight="false" outlineLevel="0" collapsed="false">
      <c r="A16" s="8" t="s">
        <v>69</v>
      </c>
      <c r="B16" s="20" t="n">
        <v>10</v>
      </c>
      <c r="C16" s="19" t="s">
        <v>62</v>
      </c>
      <c r="D16" s="23" t="s">
        <v>70</v>
      </c>
    </row>
    <row r="17" customFormat="false" ht="15" hidden="false" customHeight="false" outlineLevel="0" collapsed="false">
      <c r="A17" s="8" t="s">
        <v>71</v>
      </c>
      <c r="B17" s="20" t="n">
        <v>20</v>
      </c>
      <c r="C17" s="19" t="s">
        <v>65</v>
      </c>
      <c r="D17" s="21" t="s">
        <v>72</v>
      </c>
    </row>
    <row r="18" customFormat="false" ht="15" hidden="false" customHeight="false" outlineLevel="0" collapsed="false">
      <c r="A18" s="8" t="s">
        <v>73</v>
      </c>
      <c r="B18" s="20" t="n">
        <v>8</v>
      </c>
      <c r="C18" s="19" t="s">
        <v>65</v>
      </c>
      <c r="D18" s="21" t="s">
        <v>74</v>
      </c>
    </row>
    <row r="21" customFormat="false" ht="15" hidden="false" customHeight="false" outlineLevel="0" collapsed="false">
      <c r="A21" s="3" t="s">
        <v>75</v>
      </c>
    </row>
    <row r="22" customFormat="false" ht="15" hidden="false" customHeight="false" outlineLevel="0" collapsed="false">
      <c r="A22" s="24" t="s">
        <v>76</v>
      </c>
    </row>
    <row r="23" customFormat="false" ht="15" hidden="false" customHeight="false" outlineLevel="0" collapsed="false">
      <c r="A23" s="24" t="s">
        <v>77</v>
      </c>
    </row>
    <row r="24" customFormat="false" ht="15" hidden="false" customHeight="false" outlineLevel="0" collapsed="false">
      <c r="A24" s="24" t="s">
        <v>78</v>
      </c>
    </row>
    <row r="25" customFormat="false" ht="15" hidden="false" customHeight="false" outlineLevel="0" collapsed="false">
      <c r="A25" s="24" t="s">
        <v>79</v>
      </c>
    </row>
  </sheetData>
  <dataValidations count="1">
    <dataValidation allowBlank="false" errorStyle="stop" operator="between" showDropDown="false" showErrorMessage="false" showInputMessage="false" sqref="C13:C18" type="list">
      <formula1>"outfit,order"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3" customFormat="false" ht="26.85" hidden="false" customHeight="false" outlineLevel="0" collapsed="false">
      <c r="A3" s="7" t="s">
        <v>82</v>
      </c>
      <c r="B3" s="7" t="s">
        <v>83</v>
      </c>
      <c r="D3" s="7" t="s">
        <v>84</v>
      </c>
      <c r="E3" s="7" t="s">
        <v>83</v>
      </c>
      <c r="G3" s="7" t="s">
        <v>85</v>
      </c>
      <c r="H3" s="7" t="s">
        <v>83</v>
      </c>
    </row>
    <row r="4" customFormat="false" ht="26.85" hidden="false" customHeight="false" outlineLevel="0" collapsed="false">
      <c r="A4" s="20" t="n">
        <v>0</v>
      </c>
      <c r="B4" s="11" t="s">
        <v>86</v>
      </c>
      <c r="D4" s="20" t="n">
        <v>0</v>
      </c>
      <c r="E4" s="11" t="s">
        <v>87</v>
      </c>
      <c r="G4" s="20" t="n">
        <v>0</v>
      </c>
      <c r="H4" s="11" t="s">
        <v>88</v>
      </c>
    </row>
    <row r="5" customFormat="false" ht="15" hidden="false" customHeight="false" outlineLevel="0" collapsed="false">
      <c r="A5" s="20" t="n">
        <v>120</v>
      </c>
      <c r="B5" s="11" t="s">
        <v>89</v>
      </c>
      <c r="D5" s="20" t="n">
        <v>85</v>
      </c>
      <c r="E5" s="11" t="s">
        <v>90</v>
      </c>
      <c r="G5" s="20" t="n">
        <v>100</v>
      </c>
      <c r="H5" s="11" t="s">
        <v>91</v>
      </c>
    </row>
    <row r="6" customFormat="false" ht="30" hidden="false" customHeight="true" outlineLevel="0" collapsed="false">
      <c r="A6" s="20" t="n">
        <v>150</v>
      </c>
      <c r="B6" s="11" t="s">
        <v>92</v>
      </c>
      <c r="D6" s="20" t="n">
        <v>100</v>
      </c>
      <c r="E6" s="11" t="s">
        <v>93</v>
      </c>
      <c r="G6" s="20" t="n">
        <v>122.01</v>
      </c>
      <c r="H6" s="11" t="s">
        <v>94</v>
      </c>
    </row>
    <row r="7" customFormat="false" ht="30" hidden="false" customHeight="true" outlineLevel="0" collapsed="false">
      <c r="A7" s="20" t="n">
        <v>190.01</v>
      </c>
      <c r="B7" s="11" t="s">
        <v>95</v>
      </c>
      <c r="D7" s="20" t="n">
        <v>122.01</v>
      </c>
      <c r="E7" s="11" t="s">
        <v>96</v>
      </c>
      <c r="H7" s="11"/>
    </row>
    <row r="8" customFormat="false" ht="15" hidden="false" customHeight="false" outlineLevel="0" collapsed="false">
      <c r="A8" s="20" t="n">
        <v>380.01</v>
      </c>
      <c r="B8" s="11" t="s">
        <v>97</v>
      </c>
      <c r="E8" s="11"/>
      <c r="H8" s="11"/>
    </row>
    <row r="11" customFormat="false" ht="15" hidden="false" customHeight="false" outlineLevel="0" collapsed="false">
      <c r="A11" s="3" t="s">
        <v>98</v>
      </c>
    </row>
    <row r="12" customFormat="false" ht="26.85" hidden="false" customHeight="false" outlineLevel="0" collapsed="false">
      <c r="A12" s="7" t="s">
        <v>24</v>
      </c>
      <c r="B12" s="7" t="s">
        <v>99</v>
      </c>
      <c r="C12" s="7" t="s">
        <v>100</v>
      </c>
      <c r="D12" s="7" t="s">
        <v>101</v>
      </c>
      <c r="E12" s="7" t="s">
        <v>102</v>
      </c>
    </row>
    <row r="13" customFormat="false" ht="45" hidden="false" customHeight="true" outlineLevel="0" collapsed="false">
      <c r="A13" s="11" t="s">
        <v>3</v>
      </c>
      <c r="B13" s="25" t="n">
        <v>150</v>
      </c>
      <c r="C13" s="25" t="n">
        <v>190</v>
      </c>
      <c r="D13" s="11" t="s">
        <v>103</v>
      </c>
      <c r="E13" s="11" t="s">
        <v>104</v>
      </c>
    </row>
    <row r="14" customFormat="false" ht="45" hidden="false" customHeight="true" outlineLevel="0" collapsed="false">
      <c r="A14" s="11" t="s">
        <v>49</v>
      </c>
      <c r="B14" s="25" t="n">
        <v>100</v>
      </c>
      <c r="C14" s="25" t="n">
        <v>122</v>
      </c>
      <c r="D14" s="11" t="s">
        <v>105</v>
      </c>
      <c r="E14" s="11" t="s">
        <v>106</v>
      </c>
    </row>
    <row r="15" customFormat="false" ht="45" hidden="false" customHeight="true" outlineLevel="0" collapsed="false">
      <c r="A15" s="11" t="s">
        <v>57</v>
      </c>
      <c r="B15" s="25" t="n">
        <v>100</v>
      </c>
      <c r="C15" s="25" t="n">
        <v>122</v>
      </c>
      <c r="D15" s="11" t="s">
        <v>53</v>
      </c>
      <c r="E15" s="11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3" customFormat="false" ht="15" hidden="false" customHeight="false" outlineLevel="0" collapsed="false">
      <c r="A3" s="3" t="s">
        <v>110</v>
      </c>
      <c r="B3" s="9" t="s">
        <v>5</v>
      </c>
    </row>
    <row r="4" customFormat="false" ht="26.85" hidden="false" customHeight="false" outlineLevel="0" collapsed="false">
      <c r="A4" s="7" t="s">
        <v>2</v>
      </c>
      <c r="B4" s="7" t="s">
        <v>24</v>
      </c>
      <c r="C4" s="7" t="s">
        <v>111</v>
      </c>
      <c r="D4" s="7" t="s">
        <v>112</v>
      </c>
      <c r="E4" s="26" t="str">
        <f aca="false">'Price List'!F4</f>
        <v>None</v>
      </c>
      <c r="F4" s="26" t="str">
        <f aca="false">'Price List'!F5</f>
        <v>Light</v>
      </c>
      <c r="G4" s="26" t="str">
        <f aca="false">'Price List'!F6</f>
        <v>Medium</v>
      </c>
      <c r="H4" s="26" t="str">
        <f aca="false">'Price List'!F7</f>
        <v>Heavy</v>
      </c>
    </row>
    <row r="5" customFormat="false" ht="15" hidden="false" customHeight="false" outlineLevel="0" collapsed="false">
      <c r="A5" s="8" t="str">
        <f aca="false">'Price List'!A4</f>
        <v>Sherwani</v>
      </c>
      <c r="B5" s="8" t="str">
        <f aca="false">'Price List'!B4</f>
        <v>Sherwani</v>
      </c>
      <c r="C5" s="10" t="n">
        <f aca="false">INDEX('Price Zones'!$B$13:$B$15,MATCH(B5,'Price Zones'!$A$13:$A$15,0))</f>
        <v>150</v>
      </c>
      <c r="D5" s="10" t="n">
        <f aca="false">INDEX('Price Zones'!$C$13:$C$15,MATCH(B5,'Price Zones'!$A$13:$A$15,0))</f>
        <v>190</v>
      </c>
      <c r="E5" s="10" t="n">
        <f aca="false">('Price List'!$D4+'Price List'!$C4*INDEX('Price List'!$J$4:$J$6,MATCH($B$3,'Price List'!$I$4:$I$6,0))+INDEX('Price List'!$G$4:$G$7,MATCH(E$4,'Price List'!$F$4:$F$7,0)))*(1+'Price List'!$N$4)</f>
        <v>109.25</v>
      </c>
      <c r="F5" s="10" t="n">
        <f aca="false">('Price List'!$D4+'Price List'!$C4*INDEX('Price List'!$J$4:$J$6,MATCH($B$3,'Price List'!$I$4:$I$6,0))+INDEX('Price List'!$G$4:$G$7,MATCH(F$4,'Price List'!$F$4:$F$7,0)))*(1+'Price List'!$N$4)</f>
        <v>132.25</v>
      </c>
      <c r="G5" s="10" t="n">
        <f aca="false">('Price List'!$D4+'Price List'!$C4*INDEX('Price List'!$J$4:$J$6,MATCH($B$3,'Price List'!$I$4:$I$6,0))+INDEX('Price List'!$G$4:$G$7,MATCH(G$4,'Price List'!$F$4:$F$7,0)))*(1+'Price List'!$N$4)</f>
        <v>155.25</v>
      </c>
      <c r="H5" s="10" t="n">
        <f aca="false">('Price List'!$D4+'Price List'!$C4*INDEX('Price List'!$J$4:$J$6,MATCH($B$3,'Price List'!$I$4:$I$6,0))+INDEX('Price List'!$G$4:$G$7,MATCH(H$4,'Price List'!$F$4:$F$7,0)))*(1+'Price List'!$N$4)</f>
        <v>201.25</v>
      </c>
    </row>
    <row r="6" customFormat="false" ht="15" hidden="false" customHeight="false" outlineLevel="0" collapsed="false">
      <c r="A6" s="8" t="str">
        <f aca="false">'Price List'!A5</f>
        <v>2-Piece Suit</v>
      </c>
      <c r="B6" s="8" t="str">
        <f aca="false">'Price List'!B5</f>
        <v>Suit</v>
      </c>
      <c r="C6" s="10" t="n">
        <f aca="false">INDEX('Price Zones'!$B$13:$B$15,MATCH(B6,'Price Zones'!$A$13:$A$15,0))</f>
        <v>100</v>
      </c>
      <c r="D6" s="10" t="n">
        <f aca="false">INDEX('Price Zones'!$C$13:$C$15,MATCH(B6,'Price Zones'!$A$13:$A$15,0))</f>
        <v>122</v>
      </c>
      <c r="E6" s="10" t="n">
        <f aca="false">('Price List'!$D5+'Price List'!$C5*INDEX('Price List'!$J$4:$J$6,MATCH($B$3,'Price List'!$I$4:$I$6,0))+INDEX('Price List'!$G$4:$G$7,MATCH(E$4,'Price List'!$F$4:$F$7,0)))*(1+'Price List'!$N$4)</f>
        <v>80.5</v>
      </c>
      <c r="F6" s="10" t="n">
        <f aca="false">('Price List'!$D5+'Price List'!$C5*INDEX('Price List'!$J$4:$J$6,MATCH($B$3,'Price List'!$I$4:$I$6,0))+INDEX('Price List'!$G$4:$G$7,MATCH(F$4,'Price List'!$F$4:$F$7,0)))*(1+'Price List'!$N$4)</f>
        <v>103.5</v>
      </c>
      <c r="G6" s="10" t="n">
        <f aca="false">('Price List'!$D5+'Price List'!$C5*INDEX('Price List'!$J$4:$J$6,MATCH($B$3,'Price List'!$I$4:$I$6,0))+INDEX('Price List'!$G$4:$G$7,MATCH(G$4,'Price List'!$F$4:$F$7,0)))*(1+'Price List'!$N$4)</f>
        <v>126.5</v>
      </c>
      <c r="H6" s="10" t="n">
        <f aca="false">('Price List'!$D5+'Price List'!$C5*INDEX('Price List'!$J$4:$J$6,MATCH($B$3,'Price List'!$I$4:$I$6,0))+INDEX('Price List'!$G$4:$G$7,MATCH(H$4,'Price List'!$F$4:$F$7,0)))*(1+'Price List'!$N$4)</f>
        <v>172.5</v>
      </c>
    </row>
    <row r="7" customFormat="false" ht="15" hidden="false" customHeight="false" outlineLevel="0" collapsed="false">
      <c r="A7" s="8" t="str">
        <f aca="false">'Price List'!A6</f>
        <v>3-Piece Suit</v>
      </c>
      <c r="B7" s="8" t="str">
        <f aca="false">'Price List'!B6</f>
        <v>Suit</v>
      </c>
      <c r="C7" s="10" t="n">
        <f aca="false">INDEX('Price Zones'!$B$13:$B$15,MATCH(B7,'Price Zones'!$A$13:$A$15,0))</f>
        <v>100</v>
      </c>
      <c r="D7" s="10" t="n">
        <f aca="false">INDEX('Price Zones'!$C$13:$C$15,MATCH(B7,'Price Zones'!$A$13:$A$15,0))</f>
        <v>122</v>
      </c>
      <c r="E7" s="10" t="n">
        <f aca="false">('Price List'!$D6+'Price List'!$C6*INDEX('Price List'!$J$4:$J$6,MATCH($B$3,'Price List'!$I$4:$I$6,0))+INDEX('Price List'!$G$4:$G$7,MATCH(E$4,'Price List'!$F$4:$F$7,0)))*(1+'Price List'!$N$4)</f>
        <v>98.9</v>
      </c>
      <c r="F7" s="10" t="n">
        <f aca="false">('Price List'!$D6+'Price List'!$C6*INDEX('Price List'!$J$4:$J$6,MATCH($B$3,'Price List'!$I$4:$I$6,0))+INDEX('Price List'!$G$4:$G$7,MATCH(F$4,'Price List'!$F$4:$F$7,0)))*(1+'Price List'!$N$4)</f>
        <v>121.9</v>
      </c>
      <c r="G7" s="10" t="n">
        <f aca="false">('Price List'!$D6+'Price List'!$C6*INDEX('Price List'!$J$4:$J$6,MATCH($B$3,'Price List'!$I$4:$I$6,0))+INDEX('Price List'!$G$4:$G$7,MATCH(G$4,'Price List'!$F$4:$F$7,0)))*(1+'Price List'!$N$4)</f>
        <v>144.9</v>
      </c>
      <c r="H7" s="10" t="n">
        <f aca="false">('Price List'!$D6+'Price List'!$C6*INDEX('Price List'!$J$4:$J$6,MATCH($B$3,'Price List'!$I$4:$I$6,0))+INDEX('Price List'!$G$4:$G$7,MATCH(H$4,'Price List'!$F$4:$F$7,0)))*(1+'Price List'!$N$4)</f>
        <v>190.9</v>
      </c>
    </row>
    <row r="8" customFormat="false" ht="15" hidden="false" customHeight="false" outlineLevel="0" collapsed="false">
      <c r="A8" s="8" t="str">
        <f aca="false">'Price List'!A7</f>
        <v>Double-Breasted Suit</v>
      </c>
      <c r="B8" s="8" t="str">
        <f aca="false">'Price List'!B7</f>
        <v>Suit</v>
      </c>
      <c r="C8" s="10" t="n">
        <f aca="false">INDEX('Price Zones'!$B$13:$B$15,MATCH(B8,'Price Zones'!$A$13:$A$15,0))</f>
        <v>100</v>
      </c>
      <c r="D8" s="10" t="n">
        <f aca="false">INDEX('Price Zones'!$C$13:$C$15,MATCH(B8,'Price Zones'!$A$13:$A$15,0))</f>
        <v>122</v>
      </c>
      <c r="E8" s="10" t="n">
        <f aca="false">('Price List'!$D7+'Price List'!$C7*INDEX('Price List'!$J$4:$J$6,MATCH($B$3,'Price List'!$I$4:$I$6,0))+INDEX('Price List'!$G$4:$G$7,MATCH(E$4,'Price List'!$F$4:$F$7,0)))*(1+'Price List'!$N$4)</f>
        <v>98.9</v>
      </c>
      <c r="F8" s="10" t="n">
        <f aca="false">('Price List'!$D7+'Price List'!$C7*INDEX('Price List'!$J$4:$J$6,MATCH($B$3,'Price List'!$I$4:$I$6,0))+INDEX('Price List'!$G$4:$G$7,MATCH(F$4,'Price List'!$F$4:$F$7,0)))*(1+'Price List'!$N$4)</f>
        <v>121.9</v>
      </c>
      <c r="G8" s="10" t="n">
        <f aca="false">('Price List'!$D7+'Price List'!$C7*INDEX('Price List'!$J$4:$J$6,MATCH($B$3,'Price List'!$I$4:$I$6,0))+INDEX('Price List'!$G$4:$G$7,MATCH(G$4,'Price List'!$F$4:$F$7,0)))*(1+'Price List'!$N$4)</f>
        <v>144.9</v>
      </c>
      <c r="H8" s="10" t="n">
        <f aca="false">('Price List'!$D7+'Price List'!$C7*INDEX('Price List'!$J$4:$J$6,MATCH($B$3,'Price List'!$I$4:$I$6,0))+INDEX('Price List'!$G$4:$G$7,MATCH(H$4,'Price List'!$F$4:$F$7,0)))*(1+'Price List'!$N$4)</f>
        <v>190.9</v>
      </c>
    </row>
    <row r="9" customFormat="false" ht="15" hidden="false" customHeight="false" outlineLevel="0" collapsed="false">
      <c r="A9" s="8" t="str">
        <f aca="false">'Price List'!A8</f>
        <v>Tuxedo</v>
      </c>
      <c r="B9" s="8" t="str">
        <f aca="false">'Price List'!B8</f>
        <v>Tuxedo</v>
      </c>
      <c r="C9" s="10" t="n">
        <f aca="false">INDEX('Price Zones'!$B$13:$B$15,MATCH(B9,'Price Zones'!$A$13:$A$15,0))</f>
        <v>100</v>
      </c>
      <c r="D9" s="10" t="n">
        <f aca="false">INDEX('Price Zones'!$C$13:$C$15,MATCH(B9,'Price Zones'!$A$13:$A$15,0))</f>
        <v>122</v>
      </c>
      <c r="E9" s="10" t="n">
        <f aca="false">('Price List'!$D8+'Price List'!$C8*INDEX('Price List'!$J$4:$J$6,MATCH($B$3,'Price List'!$I$4:$I$6,0))+INDEX('Price List'!$G$4:$G$7,MATCH(E$4,'Price List'!$F$4:$F$7,0)))*(1+'Price List'!$N$4)</f>
        <v>92</v>
      </c>
      <c r="F9" s="10" t="n">
        <f aca="false">('Price List'!$D8+'Price List'!$C8*INDEX('Price List'!$J$4:$J$6,MATCH($B$3,'Price List'!$I$4:$I$6,0))+INDEX('Price List'!$G$4:$G$7,MATCH(F$4,'Price List'!$F$4:$F$7,0)))*(1+'Price List'!$N$4)</f>
        <v>115</v>
      </c>
      <c r="G9" s="10" t="n">
        <f aca="false">('Price List'!$D8+'Price List'!$C8*INDEX('Price List'!$J$4:$J$6,MATCH($B$3,'Price List'!$I$4:$I$6,0))+INDEX('Price List'!$G$4:$G$7,MATCH(G$4,'Price List'!$F$4:$F$7,0)))*(1+'Price List'!$N$4)</f>
        <v>138</v>
      </c>
      <c r="H9" s="10" t="n">
        <f aca="false">('Price List'!$D8+'Price List'!$C8*INDEX('Price List'!$J$4:$J$6,MATCH($B$3,'Price List'!$I$4:$I$6,0))+INDEX('Price List'!$G$4:$G$7,MATCH(H$4,'Price List'!$F$4:$F$7,0)))*(1+'Price List'!$N$4)</f>
        <v>184</v>
      </c>
    </row>
    <row r="10" customFormat="false" ht="15" hidden="false" customHeight="false" outlineLevel="0" collapsed="false">
      <c r="A10" s="8" t="str">
        <f aca="false">'Price List'!A9</f>
        <v>Dinner Suit</v>
      </c>
      <c r="B10" s="8" t="str">
        <f aca="false">'Price List'!B9</f>
        <v>Tuxedo</v>
      </c>
      <c r="C10" s="10" t="n">
        <f aca="false">INDEX('Price Zones'!$B$13:$B$15,MATCH(B10,'Price Zones'!$A$13:$A$15,0))</f>
        <v>100</v>
      </c>
      <c r="D10" s="10" t="n">
        <f aca="false">INDEX('Price Zones'!$C$13:$C$15,MATCH(B10,'Price Zones'!$A$13:$A$15,0))</f>
        <v>122</v>
      </c>
      <c r="E10" s="10" t="n">
        <f aca="false">('Price List'!$D9+'Price List'!$C9*INDEX('Price List'!$J$4:$J$6,MATCH($B$3,'Price List'!$I$4:$I$6,0))+INDEX('Price List'!$G$4:$G$7,MATCH(E$4,'Price List'!$F$4:$F$7,0)))*(1+'Price List'!$N$4)</f>
        <v>85.1</v>
      </c>
      <c r="F10" s="10" t="n">
        <f aca="false">('Price List'!$D9+'Price List'!$C9*INDEX('Price List'!$J$4:$J$6,MATCH($B$3,'Price List'!$I$4:$I$6,0))+INDEX('Price List'!$G$4:$G$7,MATCH(F$4,'Price List'!$F$4:$F$7,0)))*(1+'Price List'!$N$4)</f>
        <v>108.1</v>
      </c>
      <c r="G10" s="10" t="n">
        <f aca="false">('Price List'!$D9+'Price List'!$C9*INDEX('Price List'!$J$4:$J$6,MATCH($B$3,'Price List'!$I$4:$I$6,0))+INDEX('Price List'!$G$4:$G$7,MATCH(G$4,'Price List'!$F$4:$F$7,0)))*(1+'Price List'!$N$4)</f>
        <v>131.1</v>
      </c>
      <c r="H10" s="10" t="n">
        <f aca="false">('Price List'!$D9+'Price List'!$C9*INDEX('Price List'!$J$4:$J$6,MATCH($B$3,'Price List'!$I$4:$I$6,0))+INDEX('Price List'!$G$4:$G$7,MATCH(H$4,'Price List'!$F$4:$F$7,0)))*(1+'Price List'!$N$4)</f>
        <v>177.1</v>
      </c>
    </row>
  </sheetData>
  <conditionalFormatting sqref="E5:H10">
    <cfRule type="expression" priority="2" aboveAverage="0" equalAverage="0" bottom="0" percent="0" rank="0" text="" dxfId="0">
      <formula>AND(E5&gt;=$C5,E5&lt;=$D5)</formula>
    </cfRule>
    <cfRule type="expression" priority="3" aboveAverage="0" equalAverage="0" bottom="0" percent="0" rank="0" text="" dxfId="1">
      <formula>E5&lt;$C5</formula>
    </cfRule>
    <cfRule type="expression" priority="4" aboveAverage="0" equalAverage="0" bottom="0" percent="0" rank="0" text="" dxfId="2">
      <formula>E5&gt;$D5</formula>
    </cfRule>
  </conditionalFormatting>
  <dataValidations count="1">
    <dataValidation allowBlank="false" errorStyle="stop" operator="between" showDropDown="false" showErrorMessage="false" showInputMessage="false" sqref="B3" type="list">
      <formula1>'Price List'!$I$4:$I$6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15" hidden="false" customHeight="false" outlineLevel="0" collapsed="false">
      <c r="A4" s="7" t="s">
        <v>115</v>
      </c>
      <c r="B4" s="7" t="s">
        <v>116</v>
      </c>
    </row>
    <row r="5" customFormat="false" ht="48" hidden="false" customHeight="true" outlineLevel="0" collapsed="false">
      <c r="A5" s="14" t="s">
        <v>117</v>
      </c>
      <c r="B5" s="11" t="s">
        <v>118</v>
      </c>
    </row>
    <row r="6" customFormat="false" ht="31.5" hidden="false" customHeight="true" outlineLevel="0" collapsed="false">
      <c r="A6" s="14" t="s">
        <v>119</v>
      </c>
      <c r="B6" s="11" t="s">
        <v>120</v>
      </c>
    </row>
    <row r="7" customFormat="false" ht="31.5" hidden="false" customHeight="true" outlineLevel="0" collapsed="false">
      <c r="A7" s="14" t="s">
        <v>121</v>
      </c>
      <c r="B7" s="11" t="s">
        <v>122</v>
      </c>
    </row>
    <row r="8" customFormat="false" ht="48" hidden="false" customHeight="true" outlineLevel="0" collapsed="false">
      <c r="A8" s="14" t="s">
        <v>20</v>
      </c>
      <c r="B8" s="11" t="s">
        <v>123</v>
      </c>
    </row>
    <row r="9" customFormat="false" ht="48" hidden="false" customHeight="true" outlineLevel="0" collapsed="false">
      <c r="A9" s="14" t="s">
        <v>124</v>
      </c>
      <c r="B9" s="11" t="s">
        <v>125</v>
      </c>
    </row>
    <row r="10" customFormat="false" ht="48" hidden="false" customHeight="true" outlineLevel="0" collapsed="false">
      <c r="A10" s="14" t="s">
        <v>126</v>
      </c>
      <c r="B10" s="11" t="s">
        <v>127</v>
      </c>
    </row>
    <row r="11" customFormat="false" ht="48" hidden="false" customHeight="true" outlineLevel="0" collapsed="false">
      <c r="A11" s="14" t="s">
        <v>128</v>
      </c>
      <c r="B11" s="11" t="s">
        <v>129</v>
      </c>
    </row>
    <row r="12" customFormat="false" ht="48" hidden="false" customHeight="true" outlineLevel="0" collapsed="false">
      <c r="A12" s="14" t="s">
        <v>130</v>
      </c>
      <c r="B12" s="11" t="s">
        <v>131</v>
      </c>
    </row>
    <row r="13" customFormat="false" ht="48" hidden="false" customHeight="true" outlineLevel="0" collapsed="false">
      <c r="A13" s="14" t="s">
        <v>132</v>
      </c>
      <c r="B13" s="11" t="s">
        <v>133</v>
      </c>
    </row>
    <row r="14" customFormat="false" ht="31.5" hidden="false" customHeight="true" outlineLevel="0" collapsed="false">
      <c r="A14" s="14" t="s">
        <v>134</v>
      </c>
      <c r="B14" s="11" t="s">
        <v>135</v>
      </c>
    </row>
    <row r="15" customFormat="false" ht="31.5" hidden="false" customHeight="true" outlineLevel="0" collapsed="false">
      <c r="A15" s="14" t="s">
        <v>136</v>
      </c>
      <c r="B15" s="11" t="s">
        <v>137</v>
      </c>
    </row>
    <row r="16" customFormat="false" ht="31.5" hidden="false" customHeight="true" outlineLevel="0" collapsed="false">
      <c r="A16" s="14" t="s">
        <v>138</v>
      </c>
      <c r="B16" s="11" t="s">
        <v>139</v>
      </c>
    </row>
    <row r="17" customFormat="false" ht="31.5" hidden="false" customHeight="true" outlineLevel="0" collapsed="false">
      <c r="A17" s="14" t="s">
        <v>140</v>
      </c>
      <c r="B17" s="11" t="s">
        <v>141</v>
      </c>
    </row>
    <row r="18" customFormat="false" ht="31.5" hidden="false" customHeight="true" outlineLevel="0" collapsed="false">
      <c r="A18" s="14" t="s">
        <v>142</v>
      </c>
      <c r="B18" s="11" t="s">
        <v>143</v>
      </c>
    </row>
    <row r="19" customFormat="false" ht="48" hidden="false" customHeight="true" outlineLevel="0" collapsed="false">
      <c r="A19" s="14" t="s">
        <v>144</v>
      </c>
      <c r="B19" s="11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2026-09-29T15:51:43Z</dcterms:created>
  <dc:creator>openpyxl</dc:creator>
  <dc:description/>
  <dc:language>en-US</dc:language>
  <cp:lastModifiedBy/>
  <dcterms:modified xsi:type="dcterms:W3CDTF">2026-09-29T15:51:43Z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